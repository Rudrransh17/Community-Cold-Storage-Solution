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Assumptions" sheetId="7" r:id="rId1"/>
    <sheet name="CAPEX" sheetId="1" r:id="rId2"/>
    <sheet name="OPEX" sheetId="5" r:id="rId3"/>
    <sheet name="Op Model" sheetId="2" r:id="rId4"/>
    <sheet name="Impact" sheetId="3" r:id="rId5"/>
    <sheet name="Financial Feasibility" sheetId="4" r:id="rId6"/>
    <sheet name="Risk Asmnt" sheetId="6" r:id="rId7"/>
    <sheet name="Dashboard Metric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<sst xmlns="http://schemas.openxmlformats.org/spreadsheetml/2006/main" count="228" uniqueCount="178">
  <si>
    <t>Component</t>
  </si>
  <si>
    <t>Backup Generator</t>
  </si>
  <si>
    <t>Activity</t>
  </si>
  <si>
    <t>Responsible Party</t>
  </si>
  <si>
    <t>Frequency</t>
  </si>
  <si>
    <t>Operational Challenge</t>
  </si>
  <si>
    <t>Farmer Registration</t>
  </si>
  <si>
    <t>Cooperative Operator</t>
  </si>
  <si>
    <t>Monthly</t>
  </si>
  <si>
    <t>Awareness and participation</t>
  </si>
  <si>
    <t>Booking Storage Space</t>
  </si>
  <si>
    <t>Farmers</t>
  </si>
  <si>
    <t>Daily</t>
  </si>
  <si>
    <t>Capacity management</t>
  </si>
  <si>
    <t>Produce Inspection</t>
  </si>
  <si>
    <t>Operator</t>
  </si>
  <si>
    <t>Quality control</t>
  </si>
  <si>
    <t>Produce Storage</t>
  </si>
  <si>
    <t>Proper allocation</t>
  </si>
  <si>
    <t>Temperature Monitoring</t>
  </si>
  <si>
    <t>Technician</t>
  </si>
  <si>
    <t>Equipment reliability</t>
  </si>
  <si>
    <t>Inventory Update</t>
  </si>
  <si>
    <t>Record accuracy</t>
  </si>
  <si>
    <t>Maintenance Check</t>
  </si>
  <si>
    <t>Downtime prevention</t>
  </si>
  <si>
    <t>Electricity Monitoring</t>
  </si>
  <si>
    <t>Weekly</t>
  </si>
  <si>
    <t>Energy costs</t>
  </si>
  <si>
    <t>Payment Collection</t>
  </si>
  <si>
    <t>Cooperative</t>
  </si>
  <si>
    <t>Timely payments</t>
  </si>
  <si>
    <t>Cooperative Review Meeting</t>
  </si>
  <si>
    <t>Management Committee</t>
  </si>
  <si>
    <t>Quarterly</t>
  </si>
  <si>
    <t>Governance coordination</t>
  </si>
  <si>
    <t>Value</t>
  </si>
  <si>
    <t>Total Annual Benefit (₹)</t>
  </si>
  <si>
    <t>Net Annual Benefit (₹)</t>
  </si>
  <si>
    <t>Cost (₹)</t>
  </si>
  <si>
    <t>Land Development &amp; Site Preparation</t>
  </si>
  <si>
    <t>Building &amp; Civil Construction</t>
  </si>
  <si>
    <t>Insulation Panels &amp; Cold Room Structure</t>
  </si>
  <si>
    <t>Refrigeration System</t>
  </si>
  <si>
    <t>Electrical &amp; Control Systems</t>
  </si>
  <si>
    <t>Solar PV System</t>
  </si>
  <si>
    <t>Storage Racks &amp; Handling Equipment</t>
  </si>
  <si>
    <t>Sensors &amp; Monitoring Equipment</t>
  </si>
  <si>
    <t>Staff Training &amp; Commissioning</t>
  </si>
  <si>
    <t>Total CAPEX</t>
  </si>
  <si>
    <t>Annual Cost (₹)</t>
  </si>
  <si>
    <t>Electricity</t>
  </si>
  <si>
    <t>Operator Salary</t>
  </si>
  <si>
    <t>Maintenance &amp; Repairs</t>
  </si>
  <si>
    <t>Insurance &amp; Compliance</t>
  </si>
  <si>
    <t>% Share</t>
  </si>
  <si>
    <t>Expense</t>
  </si>
  <si>
    <t>Technician Salary</t>
  </si>
  <si>
    <t>Miscellaneous</t>
  </si>
  <si>
    <t>Metric</t>
  </si>
  <si>
    <t>Before</t>
  </si>
  <si>
    <t>After</t>
  </si>
  <si>
    <t>Post-Harvest Loss (%)</t>
  </si>
  <si>
    <t>Storage Access (%)</t>
  </si>
  <si>
    <t>Average Holding Period (Days)</t>
  </si>
  <si>
    <t>Farmers Served</t>
  </si>
  <si>
    <t>Community Storage Capacity (MT)</t>
  </si>
  <si>
    <t>Project Cost</t>
  </si>
  <si>
    <t>Annual OPEX</t>
  </si>
  <si>
    <t>Reduced Losses Benefit</t>
  </si>
  <si>
    <t>Storage Revenue</t>
  </si>
  <si>
    <t>Market Timing Benefit</t>
  </si>
  <si>
    <t>Total Benefit</t>
  </si>
  <si>
    <t>Net Benefit</t>
  </si>
  <si>
    <t>Risk</t>
  </si>
  <si>
    <t>Likelihood</t>
  </si>
  <si>
    <t>Impact</t>
  </si>
  <si>
    <t>Mitigation</t>
  </si>
  <si>
    <t>Power Outages</t>
  </si>
  <si>
    <t>High</t>
  </si>
  <si>
    <t>Solar + Generator</t>
  </si>
  <si>
    <t>Equipment Failure</t>
  </si>
  <si>
    <t>Medium</t>
  </si>
  <si>
    <t>Preventive Maintenance</t>
  </si>
  <si>
    <t>Low Farmer Adoption</t>
  </si>
  <si>
    <t>Awareness Campaigns</t>
  </si>
  <si>
    <t>Financing Constraints</t>
  </si>
  <si>
    <t>Subsidies and FPO Support</t>
  </si>
  <si>
    <t>Governance Issues</t>
  </si>
  <si>
    <t>Clear Operating Rules</t>
  </si>
  <si>
    <t>Seasonal Demand Variation</t>
  </si>
  <si>
    <t>Flexible Booking System</t>
  </si>
  <si>
    <t>Category</t>
  </si>
  <si>
    <t>Parameter</t>
  </si>
  <si>
    <t>Assumption</t>
  </si>
  <si>
    <t>Project Scope</t>
  </si>
  <si>
    <t>Project Type</t>
  </si>
  <si>
    <t>Community-Based Cold Storage Facility</t>
  </si>
  <si>
    <t>Ownership Model</t>
  </si>
  <si>
    <t>FPO-Managed Community Facility</t>
  </si>
  <si>
    <t>Location</t>
  </si>
  <si>
    <t>Typical Rural Indian Village</t>
  </si>
  <si>
    <t>Target Beneficiaries</t>
  </si>
  <si>
    <t>Small and Marginal Farmers</t>
  </si>
  <si>
    <t>Capacity</t>
  </si>
  <si>
    <t>100 Farmers</t>
  </si>
  <si>
    <t>Storage Capacity</t>
  </si>
  <si>
    <t>20 MT (20,000 kg)</t>
  </si>
  <si>
    <t>Annual Throughput</t>
  </si>
  <si>
    <t>400 MT</t>
  </si>
  <si>
    <t>Average Storage Duration</t>
  </si>
  <si>
    <t>18 Days</t>
  </si>
  <si>
    <t>Storage Cycles per Year</t>
  </si>
  <si>
    <t>~20 Cycles</t>
  </si>
  <si>
    <t>Produce</t>
  </si>
  <si>
    <t>Produce Type</t>
  </si>
  <si>
    <t>Mixed Fruits &amp; Vegetables</t>
  </si>
  <si>
    <t>Average Produce Value</t>
  </si>
  <si>
    <t>₹25/kg</t>
  </si>
  <si>
    <t>Annual Produce Value Managed</t>
  </si>
  <si>
    <t>₹1 Crore</t>
  </si>
  <si>
    <t>Infrastructure</t>
  </si>
  <si>
    <t>Cold Storage Type</t>
  </si>
  <si>
    <t>Multi-Commodity Cold Room</t>
  </si>
  <si>
    <t>Power Source</t>
  </si>
  <si>
    <t>Grid + Solar PV + Diesel Generator</t>
  </si>
  <si>
    <t>Solar Capacity</t>
  </si>
  <si>
    <t>~10 kW Rooftop System</t>
  </si>
  <si>
    <t>Backup Power</t>
  </si>
  <si>
    <t>Diesel Generator</t>
  </si>
  <si>
    <t>Staffing</t>
  </si>
  <si>
    <t>1 Operator + 1 Part-Time Technician</t>
  </si>
  <si>
    <t>Facility Life</t>
  </si>
  <si>
    <t>10 Years</t>
  </si>
  <si>
    <t>Financial</t>
  </si>
  <si>
    <t>₹50 Lakh</t>
  </si>
  <si>
    <t>₹7.5 Lakh</t>
  </si>
  <si>
    <t>Revenue</t>
  </si>
  <si>
    <t>Storage Fee per Farmer per Year</t>
  </si>
  <si>
    <t>Annual Storage Revenue</t>
  </si>
  <si>
    <t>₹4 Lakh</t>
  </si>
  <si>
    <t>Benefits</t>
  </si>
  <si>
    <t>Current Post-Harvest Loss</t>
  </si>
  <si>
    <t>Expected Post-Harvest Loss</t>
  </si>
  <si>
    <t>Loss Reduction</t>
  </si>
  <si>
    <t>10 Percentage Points</t>
  </si>
  <si>
    <t>Annual Value Saved from Loss Reduction</t>
  </si>
  <si>
    <t>₹10 Lakh</t>
  </si>
  <si>
    <t>₹3 Lakh/year</t>
  </si>
  <si>
    <t>Total Annual Benefit</t>
  </si>
  <si>
    <t>₹17 Lakh/year</t>
  </si>
  <si>
    <t>Net Annual Benefit</t>
  </si>
  <si>
    <t>₹9.5 Lakh/year</t>
  </si>
  <si>
    <t>Payback Period</t>
  </si>
  <si>
    <t>~5.3 Years</t>
  </si>
  <si>
    <t>Sustainability</t>
  </si>
  <si>
    <t>Storage Accessibility Before Project</t>
  </si>
  <si>
    <t>10% of Farmers</t>
  </si>
  <si>
    <t>Storage Accessibility After Project</t>
  </si>
  <si>
    <t>100% of Farmers</t>
  </si>
  <si>
    <t>Average Holding Period Before Project</t>
  </si>
  <si>
    <t>1 Day</t>
  </si>
  <si>
    <t>Average Holding Period After Project</t>
  </si>
  <si>
    <t>10 Days</t>
  </si>
  <si>
    <t>Additional Farmer Income</t>
  </si>
  <si>
    <t>Low</t>
  </si>
  <si>
    <t>Average Annual Farmer Income (₹)</t>
  </si>
  <si>
    <t>Improvement</t>
  </si>
  <si>
    <t>New Service</t>
  </si>
  <si>
    <t>New Infrastructure</t>
  </si>
  <si>
    <t>KPI</t>
  </si>
  <si>
    <t>Storage Capacity (MT)</t>
  </si>
  <si>
    <t>Annual Throughput (MT)</t>
  </si>
  <si>
    <t>Project Cost (₹)</t>
  </si>
  <si>
    <t>Annual OPEX (₹)</t>
  </si>
  <si>
    <t>Payback Period (Years)</t>
  </si>
  <si>
    <t>Produce Value Managed (₹)</t>
  </si>
  <si>
    <t>Post-Harvest Loss Reduction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</si>
</sst>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9" fontId="0" fillId="0" borderId="0" xfId="0" applyNumberFormat="1"/>
    <xf numFmtId="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E25" sqref="E25"/>
    </sheetView>
  </sheetViews>
  <sheetFormatPr defaultRowHeight="14.4" x14ac:dyDescent="0.3"/>
  <cols>
    <col min="1" max="1" width="12.21875" bestFit="1" customWidth="1"/>
    <col min="2" max="2" width="34.5546875" bestFit="1" customWidth="1"/>
    <col min="3" max="3" width="33.33203125" bestFit="1" customWidth="1"/>
  </cols>
  <sheetData>
    <row r="1" spans="1:3" x14ac:dyDescent="0.3">
      <c r="A1" t="s">
        <v>92</v>
      </c>
      <c r="B1" t="s">
        <v>93</v>
      </c>
      <c r="C1" t="s">
        <v>94</v>
      </c>
    </row>
    <row r="2" spans="1:3" x14ac:dyDescent="0.3">
      <c r="A2" t="s">
        <v>95</v>
      </c>
      <c r="B2" t="s">
        <v>96</v>
      </c>
      <c r="C2" t="s">
        <v>97</v>
      </c>
    </row>
    <row r="3" spans="1:3" x14ac:dyDescent="0.3">
      <c r="A3" t="s">
        <v>95</v>
      </c>
      <c r="B3" t="s">
        <v>98</v>
      </c>
      <c r="C3" t="s">
        <v>99</v>
      </c>
    </row>
    <row r="4" spans="1:3" x14ac:dyDescent="0.3">
      <c r="A4" t="s">
        <v>95</v>
      </c>
      <c r="B4" t="s">
        <v>100</v>
      </c>
      <c r="C4" t="s">
        <v>101</v>
      </c>
    </row>
    <row r="5" spans="1:3" x14ac:dyDescent="0.3">
      <c r="A5" t="s">
        <v>95</v>
      </c>
      <c r="B5" t="s">
        <v>102</v>
      </c>
      <c r="C5" t="s">
        <v>103</v>
      </c>
    </row>
    <row r="6" spans="1:3" x14ac:dyDescent="0.3">
      <c r="A6" t="s">
        <v>104</v>
      </c>
      <c r="B6" t="s">
        <v>65</v>
      </c>
      <c r="C6" t="s">
        <v>105</v>
      </c>
    </row>
    <row r="7" spans="1:3" x14ac:dyDescent="0.3">
      <c r="A7" t="s">
        <v>104</v>
      </c>
      <c r="B7" t="s">
        <v>106</v>
      </c>
      <c r="C7" t="s">
        <v>107</v>
      </c>
    </row>
    <row r="8" spans="1:3" x14ac:dyDescent="0.3">
      <c r="A8" t="s">
        <v>104</v>
      </c>
      <c r="B8" t="s">
        <v>108</v>
      </c>
      <c r="C8" t="s">
        <v>109</v>
      </c>
    </row>
    <row r="9" spans="1:3" x14ac:dyDescent="0.3">
      <c r="A9" t="s">
        <v>104</v>
      </c>
      <c r="B9" t="s">
        <v>110</v>
      </c>
      <c r="C9" t="s">
        <v>111</v>
      </c>
    </row>
    <row r="10" spans="1:3" x14ac:dyDescent="0.3">
      <c r="A10" t="s">
        <v>104</v>
      </c>
      <c r="B10" t="s">
        <v>112</v>
      </c>
      <c r="C10" t="s">
        <v>113</v>
      </c>
    </row>
    <row r="11" spans="1:3" x14ac:dyDescent="0.3">
      <c r="A11" t="s">
        <v>114</v>
      </c>
      <c r="B11" t="s">
        <v>115</v>
      </c>
      <c r="C11" t="s">
        <v>116</v>
      </c>
    </row>
    <row r="12" spans="1:3" x14ac:dyDescent="0.3">
      <c r="A12" t="s">
        <v>114</v>
      </c>
      <c r="B12" t="s">
        <v>117</v>
      </c>
      <c r="C12" t="s">
        <v>118</v>
      </c>
    </row>
    <row r="13" spans="1:3" x14ac:dyDescent="0.3">
      <c r="A13" t="s">
        <v>114</v>
      </c>
      <c r="B13" t="s">
        <v>119</v>
      </c>
      <c r="C13" t="s">
        <v>120</v>
      </c>
    </row>
    <row r="14" spans="1:3" x14ac:dyDescent="0.3">
      <c r="A14" t="s">
        <v>121</v>
      </c>
      <c r="B14" t="s">
        <v>122</v>
      </c>
      <c r="C14" t="s">
        <v>123</v>
      </c>
    </row>
    <row r="15" spans="1:3" x14ac:dyDescent="0.3">
      <c r="A15" t="s">
        <v>121</v>
      </c>
      <c r="B15" t="s">
        <v>124</v>
      </c>
      <c r="C15" t="s">
        <v>125</v>
      </c>
    </row>
    <row r="16" spans="1:3" x14ac:dyDescent="0.3">
      <c r="A16" t="s">
        <v>121</v>
      </c>
      <c r="B16" t="s">
        <v>126</v>
      </c>
      <c r="C16" t="s">
        <v>127</v>
      </c>
    </row>
    <row r="17" spans="1:3" x14ac:dyDescent="0.3">
      <c r="A17" t="s">
        <v>121</v>
      </c>
      <c r="B17" t="s">
        <v>128</v>
      </c>
      <c r="C17" t="s">
        <v>129</v>
      </c>
    </row>
    <row r="18" spans="1:3" x14ac:dyDescent="0.3">
      <c r="A18" t="s">
        <v>121</v>
      </c>
      <c r="B18" t="s">
        <v>130</v>
      </c>
      <c r="C18" t="s">
        <v>131</v>
      </c>
    </row>
    <row r="19" spans="1:3" x14ac:dyDescent="0.3">
      <c r="A19" t="s">
        <v>121</v>
      </c>
      <c r="B19" t="s">
        <v>132</v>
      </c>
      <c r="C19" t="s">
        <v>133</v>
      </c>
    </row>
    <row r="20" spans="1:3" x14ac:dyDescent="0.3">
      <c r="A20" t="s">
        <v>134</v>
      </c>
      <c r="B20" t="s">
        <v>49</v>
      </c>
      <c r="C20" t="s">
        <v>135</v>
      </c>
    </row>
    <row r="21" spans="1:3" x14ac:dyDescent="0.3">
      <c r="A21" t="s">
        <v>134</v>
      </c>
      <c r="B21" t="s">
        <v>68</v>
      </c>
      <c r="C21" t="s">
        <v>136</v>
      </c>
    </row>
    <row r="22" spans="1:3" x14ac:dyDescent="0.3">
      <c r="A22" t="s">
        <v>137</v>
      </c>
      <c r="B22" t="s">
        <v>138</v>
      </c>
      <c r="C22" s="3">
        <v>4000</v>
      </c>
    </row>
    <row r="23" spans="1:3" x14ac:dyDescent="0.3">
      <c r="A23" t="s">
        <v>137</v>
      </c>
      <c r="B23" t="s">
        <v>139</v>
      </c>
      <c r="C23" t="s">
        <v>140</v>
      </c>
    </row>
    <row r="24" spans="1:3" x14ac:dyDescent="0.3">
      <c r="A24" t="s">
        <v>141</v>
      </c>
      <c r="B24" t="s">
        <v>142</v>
      </c>
      <c r="C24" s="2">
        <v>0.15</v>
      </c>
    </row>
    <row r="25" spans="1:3" x14ac:dyDescent="0.3">
      <c r="A25" t="s">
        <v>141</v>
      </c>
      <c r="B25" t="s">
        <v>143</v>
      </c>
      <c r="C25" s="2">
        <v>0.05</v>
      </c>
    </row>
    <row r="26" spans="1:3" x14ac:dyDescent="0.3">
      <c r="A26" t="s">
        <v>141</v>
      </c>
      <c r="B26" t="s">
        <v>144</v>
      </c>
      <c r="C26" t="s">
        <v>145</v>
      </c>
    </row>
    <row r="27" spans="1:3" x14ac:dyDescent="0.3">
      <c r="A27" t="s">
        <v>141</v>
      </c>
      <c r="B27" t="s">
        <v>146</v>
      </c>
      <c r="C27" t="s">
        <v>147</v>
      </c>
    </row>
    <row r="28" spans="1:3" x14ac:dyDescent="0.3">
      <c r="A28" t="s">
        <v>141</v>
      </c>
      <c r="B28" t="s">
        <v>164</v>
      </c>
      <c r="C28" t="s">
        <v>148</v>
      </c>
    </row>
    <row r="29" spans="1:3" x14ac:dyDescent="0.3">
      <c r="A29" t="s">
        <v>141</v>
      </c>
      <c r="B29" t="s">
        <v>149</v>
      </c>
      <c r="C29" t="s">
        <v>150</v>
      </c>
    </row>
    <row r="30" spans="1:3" x14ac:dyDescent="0.3">
      <c r="A30" t="s">
        <v>141</v>
      </c>
      <c r="B30" t="s">
        <v>151</v>
      </c>
      <c r="C30" t="s">
        <v>152</v>
      </c>
    </row>
    <row r="31" spans="1:3" x14ac:dyDescent="0.3">
      <c r="A31" t="s">
        <v>141</v>
      </c>
      <c r="B31" t="s">
        <v>153</v>
      </c>
      <c r="C31" t="s">
        <v>154</v>
      </c>
    </row>
    <row r="32" spans="1:3" x14ac:dyDescent="0.3">
      <c r="A32" t="s">
        <v>155</v>
      </c>
      <c r="B32" t="s">
        <v>156</v>
      </c>
      <c r="C32" t="s">
        <v>157</v>
      </c>
    </row>
    <row r="33" spans="1:3" x14ac:dyDescent="0.3">
      <c r="A33" t="s">
        <v>155</v>
      </c>
      <c r="B33" t="s">
        <v>158</v>
      </c>
      <c r="C33" t="s">
        <v>159</v>
      </c>
    </row>
    <row r="34" spans="1:3" x14ac:dyDescent="0.3">
      <c r="A34" t="s">
        <v>155</v>
      </c>
      <c r="B34" t="s">
        <v>160</v>
      </c>
      <c r="C34" t="s">
        <v>161</v>
      </c>
    </row>
    <row r="35" spans="1:3" x14ac:dyDescent="0.3">
      <c r="A35" t="s">
        <v>155</v>
      </c>
      <c r="B35" t="s">
        <v>162</v>
      </c>
      <c r="C35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zoomScale="120" zoomScaleNormal="120" workbookViewId="0">
      <selection activeCell="A18" sqref="A18"/>
    </sheetView>
  </sheetViews>
  <sheetFormatPr defaultRowHeight="14.4" x14ac:dyDescent="0.3"/>
  <cols>
    <col min="1" max="1" width="35.5546875" bestFit="1" customWidth="1"/>
    <col min="2" max="2" width="8.88671875" bestFit="1" customWidth="1"/>
    <col min="3" max="3" width="7.6640625" bestFit="1" customWidth="1"/>
  </cols>
  <sheetData>
    <row r="1" spans="1:3" x14ac:dyDescent="0.3">
      <c r="A1" t="s">
        <v>0</v>
      </c>
      <c r="B1" t="s">
        <v>39</v>
      </c>
      <c r="C1" t="s">
        <v>55</v>
      </c>
    </row>
    <row r="2" spans="1:3" x14ac:dyDescent="0.3">
      <c r="A2" t="s">
        <v>40</v>
      </c>
      <c r="B2" s="1">
        <v>200000</v>
      </c>
      <c r="C2" s="2">
        <f>B2*100%/(SUM(B$2:B$11))</f>
        <v>0.04</v>
      </c>
    </row>
    <row r="3" spans="1:3" x14ac:dyDescent="0.3">
      <c r="A3" t="s">
        <v>41</v>
      </c>
      <c r="B3" s="1">
        <v>1200000</v>
      </c>
      <c r="C3" s="2">
        <f t="shared" ref="C3:C11" si="0">B3*100%/(SUM(B$2:B$11))</f>
        <v>0.24</v>
      </c>
    </row>
    <row r="4" spans="1:3" x14ac:dyDescent="0.3">
      <c r="A4" t="s">
        <v>42</v>
      </c>
      <c r="B4" s="1">
        <v>600000</v>
      </c>
      <c r="C4" s="2">
        <f t="shared" si="0"/>
        <v>0.12</v>
      </c>
    </row>
    <row r="5" spans="1:3" x14ac:dyDescent="0.3">
      <c r="A5" t="s">
        <v>43</v>
      </c>
      <c r="B5" s="1">
        <v>1500000</v>
      </c>
      <c r="C5" s="2">
        <f t="shared" si="0"/>
        <v>0.3</v>
      </c>
    </row>
    <row r="6" spans="1:3" x14ac:dyDescent="0.3">
      <c r="A6" t="s">
        <v>44</v>
      </c>
      <c r="B6" s="1">
        <v>300000</v>
      </c>
      <c r="C6" s="2">
        <f t="shared" si="0"/>
        <v>0.06</v>
      </c>
    </row>
    <row r="7" spans="1:3" x14ac:dyDescent="0.3">
      <c r="A7" t="s">
        <v>45</v>
      </c>
      <c r="B7" s="1">
        <v>500000</v>
      </c>
      <c r="C7" s="2">
        <f t="shared" si="0"/>
        <v>0.1</v>
      </c>
    </row>
    <row r="8" spans="1:3" x14ac:dyDescent="0.3">
      <c r="A8" t="s">
        <v>1</v>
      </c>
      <c r="B8" s="1">
        <v>300000</v>
      </c>
      <c r="C8" s="2">
        <f t="shared" si="0"/>
        <v>0.06</v>
      </c>
    </row>
    <row r="9" spans="1:3" x14ac:dyDescent="0.3">
      <c r="A9" t="s">
        <v>46</v>
      </c>
      <c r="B9" s="1">
        <v>200000</v>
      </c>
      <c r="C9" s="2">
        <f t="shared" si="0"/>
        <v>0.04</v>
      </c>
    </row>
    <row r="10" spans="1:3" x14ac:dyDescent="0.3">
      <c r="A10" t="s">
        <v>47</v>
      </c>
      <c r="B10" s="1">
        <v>100000</v>
      </c>
      <c r="C10" s="2">
        <f t="shared" si="0"/>
        <v>0.02</v>
      </c>
    </row>
    <row r="11" spans="1:3" x14ac:dyDescent="0.3">
      <c r="A11" t="s">
        <v>48</v>
      </c>
      <c r="B11" s="1">
        <v>100000</v>
      </c>
      <c r="C11" s="2">
        <f t="shared" si="0"/>
        <v>0.02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120" zoomScaleNormal="120" workbookViewId="0">
      <selection activeCell="A8" sqref="A8:XFD11"/>
    </sheetView>
  </sheetViews>
  <sheetFormatPr defaultRowHeight="14.4" x14ac:dyDescent="0.3"/>
  <cols>
    <col min="1" max="1" width="21.6640625" bestFit="1" customWidth="1"/>
    <col min="2" max="2" width="13.88671875" bestFit="1" customWidth="1"/>
  </cols>
  <sheetData>
    <row r="1" spans="1:2" x14ac:dyDescent="0.3">
      <c r="A1" t="s">
        <v>56</v>
      </c>
      <c r="B1" t="s">
        <v>50</v>
      </c>
    </row>
    <row r="2" spans="1:2" x14ac:dyDescent="0.3">
      <c r="A2" t="s">
        <v>51</v>
      </c>
      <c r="B2" s="1">
        <v>250000</v>
      </c>
    </row>
    <row r="3" spans="1:2" x14ac:dyDescent="0.3">
      <c r="A3" t="s">
        <v>52</v>
      </c>
      <c r="B3" s="1">
        <v>180000</v>
      </c>
    </row>
    <row r="4" spans="1:2" x14ac:dyDescent="0.3">
      <c r="A4" t="s">
        <v>57</v>
      </c>
      <c r="B4" s="1">
        <v>120000</v>
      </c>
    </row>
    <row r="5" spans="1:2" x14ac:dyDescent="0.3">
      <c r="A5" t="s">
        <v>53</v>
      </c>
      <c r="B5" s="1">
        <v>100000</v>
      </c>
    </row>
    <row r="6" spans="1:2" x14ac:dyDescent="0.3">
      <c r="A6" t="s">
        <v>54</v>
      </c>
      <c r="B6" s="1">
        <v>50000</v>
      </c>
    </row>
    <row r="7" spans="1:2" x14ac:dyDescent="0.3">
      <c r="A7" t="s">
        <v>58</v>
      </c>
      <c r="B7" s="1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120" zoomScaleNormal="120" workbookViewId="0">
      <selection activeCell="B16" sqref="B16"/>
    </sheetView>
  </sheetViews>
  <sheetFormatPr defaultRowHeight="14.4" x14ac:dyDescent="0.3"/>
  <cols>
    <col min="1" max="1" width="24.77734375" bestFit="1" customWidth="1"/>
    <col min="2" max="2" width="21.6640625" bestFit="1" customWidth="1"/>
    <col min="3" max="3" width="9.33203125" bestFit="1" customWidth="1"/>
    <col min="4" max="4" width="24.33203125" bestFit="1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x14ac:dyDescent="0.3">
      <c r="A2" t="s">
        <v>6</v>
      </c>
      <c r="B2" t="s">
        <v>7</v>
      </c>
      <c r="C2" t="s">
        <v>8</v>
      </c>
      <c r="D2" t="s">
        <v>9</v>
      </c>
    </row>
    <row r="3" spans="1:4" x14ac:dyDescent="0.3">
      <c r="A3" t="s">
        <v>10</v>
      </c>
      <c r="B3" t="s">
        <v>11</v>
      </c>
      <c r="C3" t="s">
        <v>12</v>
      </c>
      <c r="D3" t="s">
        <v>13</v>
      </c>
    </row>
    <row r="4" spans="1:4" x14ac:dyDescent="0.3">
      <c r="A4" t="s">
        <v>14</v>
      </c>
      <c r="B4" t="s">
        <v>15</v>
      </c>
      <c r="C4" t="s">
        <v>12</v>
      </c>
      <c r="D4" t="s">
        <v>16</v>
      </c>
    </row>
    <row r="5" spans="1:4" x14ac:dyDescent="0.3">
      <c r="A5" t="s">
        <v>17</v>
      </c>
      <c r="B5" t="s">
        <v>15</v>
      </c>
      <c r="C5" t="s">
        <v>12</v>
      </c>
      <c r="D5" t="s">
        <v>18</v>
      </c>
    </row>
    <row r="6" spans="1:4" x14ac:dyDescent="0.3">
      <c r="A6" t="s">
        <v>19</v>
      </c>
      <c r="B6" t="s">
        <v>20</v>
      </c>
      <c r="C6" t="s">
        <v>12</v>
      </c>
      <c r="D6" t="s">
        <v>21</v>
      </c>
    </row>
    <row r="7" spans="1:4" x14ac:dyDescent="0.3">
      <c r="A7" t="s">
        <v>22</v>
      </c>
      <c r="B7" t="s">
        <v>15</v>
      </c>
      <c r="C7" t="s">
        <v>12</v>
      </c>
      <c r="D7" t="s">
        <v>23</v>
      </c>
    </row>
    <row r="8" spans="1:4" x14ac:dyDescent="0.3">
      <c r="A8" t="s">
        <v>24</v>
      </c>
      <c r="B8" t="s">
        <v>20</v>
      </c>
      <c r="C8" t="s">
        <v>8</v>
      </c>
      <c r="D8" t="s">
        <v>25</v>
      </c>
    </row>
    <row r="9" spans="1:4" x14ac:dyDescent="0.3">
      <c r="A9" t="s">
        <v>26</v>
      </c>
      <c r="B9" t="s">
        <v>15</v>
      </c>
      <c r="C9" t="s">
        <v>27</v>
      </c>
      <c r="D9" t="s">
        <v>28</v>
      </c>
    </row>
    <row r="10" spans="1:4" x14ac:dyDescent="0.3">
      <c r="A10" t="s">
        <v>29</v>
      </c>
      <c r="B10" t="s">
        <v>30</v>
      </c>
      <c r="C10" t="s">
        <v>8</v>
      </c>
      <c r="D10" t="s">
        <v>31</v>
      </c>
    </row>
    <row r="11" spans="1:4" x14ac:dyDescent="0.3">
      <c r="A11" t="s">
        <v>32</v>
      </c>
      <c r="B11" t="s">
        <v>33</v>
      </c>
      <c r="C11" t="s">
        <v>34</v>
      </c>
      <c r="D1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120" zoomScaleNormal="120" workbookViewId="0">
      <selection activeCell="G16" sqref="G16"/>
    </sheetView>
  </sheetViews>
  <sheetFormatPr defaultRowHeight="14.4" x14ac:dyDescent="0.3"/>
  <cols>
    <col min="1" max="1" width="30.77734375" bestFit="1" customWidth="1"/>
    <col min="2" max="2" width="6.5546875" bestFit="1" customWidth="1"/>
    <col min="3" max="3" width="6.44140625" bestFit="1" customWidth="1"/>
    <col min="4" max="4" width="17" bestFit="1" customWidth="1"/>
  </cols>
  <sheetData>
    <row r="1" spans="1:4" x14ac:dyDescent="0.3">
      <c r="A1" t="s">
        <v>59</v>
      </c>
      <c r="B1" t="s">
        <v>60</v>
      </c>
      <c r="C1" t="s">
        <v>61</v>
      </c>
      <c r="D1" t="s">
        <v>167</v>
      </c>
    </row>
    <row r="2" spans="1:4" x14ac:dyDescent="0.3">
      <c r="A2" t="s">
        <v>62</v>
      </c>
      <c r="B2">
        <v>15</v>
      </c>
      <c r="C2">
        <v>5</v>
      </c>
      <c r="D2" s="4">
        <v>-0.66700000000000004</v>
      </c>
    </row>
    <row r="3" spans="1:4" x14ac:dyDescent="0.3">
      <c r="A3" t="s">
        <v>63</v>
      </c>
      <c r="B3">
        <v>10</v>
      </c>
      <c r="C3">
        <v>100</v>
      </c>
      <c r="D3" s="2">
        <v>9</v>
      </c>
    </row>
    <row r="4" spans="1:4" x14ac:dyDescent="0.3">
      <c r="A4" t="s">
        <v>64</v>
      </c>
      <c r="B4">
        <v>1</v>
      </c>
      <c r="C4">
        <v>10</v>
      </c>
      <c r="D4" s="2">
        <v>9</v>
      </c>
    </row>
    <row r="5" spans="1:4" x14ac:dyDescent="0.3">
      <c r="A5" t="s">
        <v>166</v>
      </c>
      <c r="B5" s="1">
        <v>80000</v>
      </c>
      <c r="C5" s="1">
        <v>90000</v>
      </c>
      <c r="D5" s="4">
        <v>0.125</v>
      </c>
    </row>
    <row r="6" spans="1:4" x14ac:dyDescent="0.3">
      <c r="A6" t="s">
        <v>65</v>
      </c>
      <c r="B6">
        <v>0</v>
      </c>
      <c r="C6">
        <v>100</v>
      </c>
      <c r="D6" t="s">
        <v>168</v>
      </c>
    </row>
    <row r="7" spans="1:4" x14ac:dyDescent="0.3">
      <c r="A7" t="s">
        <v>66</v>
      </c>
      <c r="B7">
        <v>0</v>
      </c>
      <c r="C7">
        <v>20</v>
      </c>
      <c r="D7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120" zoomScaleNormal="120" workbookViewId="0">
      <selection activeCell="B5" sqref="B5"/>
    </sheetView>
  </sheetViews>
  <sheetFormatPr defaultRowHeight="14.4" x14ac:dyDescent="0.3"/>
  <cols>
    <col min="1" max="1" width="28.5546875" bestFit="1" customWidth="1"/>
    <col min="2" max="2" width="8" bestFit="1" customWidth="1"/>
  </cols>
  <sheetData>
    <row r="1" spans="1:2" x14ac:dyDescent="0.3">
      <c r="A1" t="s">
        <v>59</v>
      </c>
      <c r="B1" t="s">
        <v>36</v>
      </c>
    </row>
    <row r="2" spans="1:2" x14ac:dyDescent="0.3">
      <c r="A2" t="s">
        <v>67</v>
      </c>
      <c r="B2">
        <v>5000000</v>
      </c>
    </row>
    <row r="3" spans="1:2" x14ac:dyDescent="0.3">
      <c r="A3" t="s">
        <v>68</v>
      </c>
      <c r="B3">
        <v>-750000</v>
      </c>
    </row>
    <row r="4" spans="1:2" x14ac:dyDescent="0.3">
      <c r="A4" t="s">
        <v>69</v>
      </c>
      <c r="B4">
        <v>1000000</v>
      </c>
    </row>
    <row r="5" spans="1:2" x14ac:dyDescent="0.3">
      <c r="A5" t="s">
        <v>70</v>
      </c>
      <c r="B5">
        <v>400000</v>
      </c>
    </row>
    <row r="6" spans="1:2" x14ac:dyDescent="0.3">
      <c r="A6" t="s">
        <v>71</v>
      </c>
      <c r="B6">
        <v>300000</v>
      </c>
    </row>
    <row r="7" spans="1:2" x14ac:dyDescent="0.3">
      <c r="A7" t="s">
        <v>72</v>
      </c>
      <c r="B7">
        <v>1700000</v>
      </c>
    </row>
    <row r="8" spans="1:2" x14ac:dyDescent="0.3">
      <c r="A8" t="s">
        <v>73</v>
      </c>
      <c r="B8">
        <v>950000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120" zoomScaleNormal="120" workbookViewId="0">
      <selection activeCell="D10" sqref="D10"/>
    </sheetView>
  </sheetViews>
  <sheetFormatPr defaultRowHeight="14.4" x14ac:dyDescent="0.3"/>
  <cols>
    <col min="1" max="1" width="23.6640625" bestFit="1" customWidth="1"/>
    <col min="2" max="2" width="9.33203125" bestFit="1" customWidth="1"/>
    <col min="3" max="3" width="7.6640625" bestFit="1" customWidth="1"/>
    <col min="4" max="4" width="22.5546875" bestFit="1" customWidth="1"/>
  </cols>
  <sheetData>
    <row r="1" spans="1:4" x14ac:dyDescent="0.3">
      <c r="A1" t="s">
        <v>74</v>
      </c>
      <c r="B1" t="s">
        <v>75</v>
      </c>
      <c r="C1" t="s">
        <v>76</v>
      </c>
      <c r="D1" t="s">
        <v>77</v>
      </c>
    </row>
    <row r="2" spans="1:4" x14ac:dyDescent="0.3">
      <c r="A2" t="s">
        <v>78</v>
      </c>
      <c r="B2" t="s">
        <v>79</v>
      </c>
      <c r="C2" t="s">
        <v>79</v>
      </c>
      <c r="D2" t="s">
        <v>80</v>
      </c>
    </row>
    <row r="3" spans="1:4" x14ac:dyDescent="0.3">
      <c r="A3" t="s">
        <v>81</v>
      </c>
      <c r="B3" t="s">
        <v>82</v>
      </c>
      <c r="C3" t="s">
        <v>79</v>
      </c>
      <c r="D3" t="s">
        <v>83</v>
      </c>
    </row>
    <row r="4" spans="1:4" x14ac:dyDescent="0.3">
      <c r="A4" t="s">
        <v>84</v>
      </c>
      <c r="B4" t="s">
        <v>82</v>
      </c>
      <c r="C4" t="s">
        <v>79</v>
      </c>
      <c r="D4" t="s">
        <v>85</v>
      </c>
    </row>
    <row r="5" spans="1:4" x14ac:dyDescent="0.3">
      <c r="A5" t="s">
        <v>86</v>
      </c>
      <c r="B5" t="s">
        <v>82</v>
      </c>
      <c r="C5" t="s">
        <v>82</v>
      </c>
      <c r="D5" t="s">
        <v>87</v>
      </c>
    </row>
    <row r="6" spans="1:4" x14ac:dyDescent="0.3">
      <c r="A6" t="s">
        <v>88</v>
      </c>
      <c r="B6" t="s">
        <v>165</v>
      </c>
      <c r="C6" t="s">
        <v>82</v>
      </c>
      <c r="D6" t="s">
        <v>89</v>
      </c>
    </row>
    <row r="7" spans="1:4" x14ac:dyDescent="0.3">
      <c r="A7" t="s">
        <v>90</v>
      </c>
      <c r="B7" t="s">
        <v>165</v>
      </c>
      <c r="C7" t="s">
        <v>165</v>
      </c>
      <c r="D7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="120" zoomScaleNormal="120" workbookViewId="0">
      <selection activeCell="A12" sqref="A12"/>
    </sheetView>
  </sheetViews>
  <sheetFormatPr defaultRowHeight="14.4" x14ac:dyDescent="0.3"/>
  <cols>
    <col min="1" max="1" width="27.5546875" bestFit="1" customWidth="1"/>
    <col min="2" max="2" width="9" bestFit="1" customWidth="1"/>
  </cols>
  <sheetData>
    <row r="1" spans="1:2" x14ac:dyDescent="0.3">
      <c r="A1" t="s">
        <v>170</v>
      </c>
      <c r="B1" t="s">
        <v>36</v>
      </c>
    </row>
    <row r="2" spans="1:2" x14ac:dyDescent="0.3">
      <c r="A2" t="s">
        <v>65</v>
      </c>
      <c r="B2">
        <v>100</v>
      </c>
    </row>
    <row r="3" spans="1:2" x14ac:dyDescent="0.3">
      <c r="A3" t="s">
        <v>171</v>
      </c>
      <c r="B3">
        <v>20</v>
      </c>
    </row>
    <row r="4" spans="1:2" x14ac:dyDescent="0.3">
      <c r="A4" t="s">
        <v>172</v>
      </c>
      <c r="B4">
        <v>400</v>
      </c>
    </row>
    <row r="5" spans="1:2" x14ac:dyDescent="0.3">
      <c r="A5" t="s">
        <v>173</v>
      </c>
      <c r="B5">
        <v>5000000</v>
      </c>
    </row>
    <row r="6" spans="1:2" x14ac:dyDescent="0.3">
      <c r="A6" t="s">
        <v>174</v>
      </c>
      <c r="B6">
        <v>750000</v>
      </c>
    </row>
    <row r="7" spans="1:2" x14ac:dyDescent="0.3">
      <c r="A7" t="s">
        <v>37</v>
      </c>
      <c r="B7">
        <v>1700000</v>
      </c>
    </row>
    <row r="8" spans="1:2" x14ac:dyDescent="0.3">
      <c r="A8" t="s">
        <v>38</v>
      </c>
      <c r="B8">
        <v>950000</v>
      </c>
    </row>
    <row r="9" spans="1:2" x14ac:dyDescent="0.3">
      <c r="A9" t="s">
        <v>175</v>
      </c>
      <c r="B9">
        <v>5.3</v>
      </c>
    </row>
    <row r="10" spans="1:2" x14ac:dyDescent="0.3">
      <c r="A10" t="s">
        <v>176</v>
      </c>
      <c r="B10">
        <v>10000000</v>
      </c>
    </row>
    <row r="11" spans="1:2" x14ac:dyDescent="0.3">
      <c r="A11" t="s">
        <v>177</v>
      </c>
      <c r="B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CAPEX</vt:lpstr>
      <vt:lpstr>OPEX</vt:lpstr>
      <vt:lpstr>Op Model</vt:lpstr>
      <vt:lpstr>Impact</vt:lpstr>
      <vt:lpstr>Financial Feasibility</vt:lpstr>
      <vt:lpstr>Risk Asmnt</vt:lpstr>
      <vt:lpstr>Dashboard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2026-05-29T13:00:53Z</dcterms:modified>
</cp:coreProperties>
</file>